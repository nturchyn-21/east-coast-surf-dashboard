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pots Database" sheetId="1" state="visible" r:id="rId3"/>
    <sheet name="Swell Finder" sheetId="2" state="visible" r:id="rId4"/>
    <sheet name="Legend &amp; How to Use" sheetId="3" state="visible" r:id="rId5"/>
  </sheets>
  <definedNames>
    <definedName function="false" hidden="true" localSheetId="0" name="_xlnm._FilterDatabase" vbProcedure="false">'Spots Database'!$A$3:$T$17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<sst xmlns="http://schemas.openxmlformats.org/spreadsheetml/2006/main" count="364" uniqueCount="131">
  <si>
    <t xml:space="preserve">🏄  East Coast Surf Spots — Maine Database</t>
  </si>
  <si>
    <t xml:space="preserve">Source: The Stormrider Surf Guide – North America (4 photos)</t>
  </si>
  <si>
    <t xml:space="preserve">← Swell Works? (Y = Yes)</t>
  </si>
  <si>
    <t xml:space="preserve">Spot #</t>
  </si>
  <si>
    <t xml:space="preserve">Spot Name</t>
  </si>
  <si>
    <t xml:space="preserve">Region</t>
  </si>
  <si>
    <t xml:space="preserve">State</t>
  </si>
  <si>
    <t xml:space="preserve">Town</t>
  </si>
  <si>
    <t xml:space="preserve">N</t>
  </si>
  <si>
    <t xml:space="preserve">NE</t>
  </si>
  <si>
    <t xml:space="preserve">E</t>
  </si>
  <si>
    <t xml:space="preserve">SE</t>
  </si>
  <si>
    <t xml:space="preserve">S</t>
  </si>
  <si>
    <t xml:space="preserve">SW</t>
  </si>
  <si>
    <t xml:space="preserve">Primary Swell</t>
  </si>
  <si>
    <t xml:space="preserve">Best Tide</t>
  </si>
  <si>
    <t xml:space="preserve">Bottom</t>
  </si>
  <si>
    <t xml:space="preserve">Wave Type</t>
  </si>
  <si>
    <t xml:space="preserve">Skill Level</t>
  </si>
  <si>
    <t xml:space="preserve">Best Season</t>
  </si>
  <si>
    <t xml:space="preserve">Crowd</t>
  </si>
  <si>
    <t xml:space="preserve">Quality ★</t>
  </si>
  <si>
    <t xml:space="preserve">Notes</t>
  </si>
  <si>
    <t xml:space="preserve">Higgins Beach</t>
  </si>
  <si>
    <t xml:space="preserve">Maine – North</t>
  </si>
  <si>
    <t xml:space="preserve">ME</t>
  </si>
  <si>
    <t xml:space="preserve">Scarborough</t>
  </si>
  <si>
    <t xml:space="preserve">Y</t>
  </si>
  <si>
    <t xml:space="preserve">NE / E</t>
  </si>
  <si>
    <t xml:space="preserve">Low–Mid</t>
  </si>
  <si>
    <t xml:space="preserve">Sand</t>
  </si>
  <si>
    <t xml:space="preserve">Beach Break</t>
  </si>
  <si>
    <t xml:space="preserve">Beginner–Int</t>
  </si>
  <si>
    <t xml:space="preserve">Fall–Winter</t>
  </si>
  <si>
    <t xml:space="preserve">Low–Med</t>
  </si>
  <si>
    <t xml:space="preserve">★★★★☆</t>
  </si>
  <si>
    <t xml:space="preserve">One of Portland's most consistent spots. Picks up NE swell well. Rip currents possible at low tide. Some parking on-street.</t>
  </si>
  <si>
    <t xml:space="preserve">Old Orchard Beach</t>
  </si>
  <si>
    <t xml:space="preserve">NE / E / SE</t>
  </si>
  <si>
    <t xml:space="preserve">Beginner</t>
  </si>
  <si>
    <t xml:space="preserve">Summer–Fall</t>
  </si>
  <si>
    <t xml:space="preserve">High</t>
  </si>
  <si>
    <t xml:space="preserve">★★★☆☆</t>
  </si>
  <si>
    <t xml:space="preserve">Long stretch of beach. Tourist area in summer – very crowded. Best off-season. Gentle waves, good for learners.</t>
  </si>
  <si>
    <t xml:space="preserve">Scarborough Beach</t>
  </si>
  <si>
    <t xml:space="preserve">Mid</t>
  </si>
  <si>
    <t xml:space="preserve">Intermediate</t>
  </si>
  <si>
    <t xml:space="preserve">Fall</t>
  </si>
  <si>
    <t xml:space="preserve">Med</t>
  </si>
  <si>
    <t xml:space="preserve">State park beach. Faces SE — picks up SSE swell well (better angle than Pine Point on SSE days). Prouts Neck focuses energy into beach on SE/SSE. Also works NE/E. Parking fee in-season. Closes in winter. Source: real-world observation, May 2026.</t>
  </si>
  <si>
    <t xml:space="preserve">Fortunes Rocks Beach</t>
  </si>
  <si>
    <t xml:space="preserve">Biddeford</t>
  </si>
  <si>
    <t xml:space="preserve">Low</t>
  </si>
  <si>
    <t xml:space="preserve">Quiet beach north of Biddeford Pool. Picks up good NE groundswell. Limited parking.</t>
  </si>
  <si>
    <t xml:space="preserve">Kennebunk Beach</t>
  </si>
  <si>
    <t xml:space="preserve">Kennebunk</t>
  </si>
  <si>
    <t xml:space="preserve">Three connected beaches (Mother's, Middle, Gooch's). Gooch's is most exposed and best for surf. Sticker parking in summer.</t>
  </si>
  <si>
    <t xml:space="preserve">Kennebunkport</t>
  </si>
  <si>
    <t xml:space="preserve">Sand/Rock</t>
  </si>
  <si>
    <t xml:space="preserve">Various spots around the port area. Rocky shores require booties. Works in solid NE groundswell.</t>
  </si>
  <si>
    <t xml:space="preserve">Lox Point</t>
  </si>
  <si>
    <t xml:space="preserve">Rock</t>
  </si>
  <si>
    <t xml:space="preserve">Point Break</t>
  </si>
  <si>
    <t xml:space="preserve">Advanced</t>
  </si>
  <si>
    <t xml:space="preserve">Rocky point break. Can produce quality long walls when NE groundswell lines up. Not for beginners – rocks and currents. Private property nearby, be respectful.</t>
  </si>
  <si>
    <t xml:space="preserve">Wells Jetties</t>
  </si>
  <si>
    <t xml:space="preserve">Maine – South</t>
  </si>
  <si>
    <t xml:space="preserve">Wells</t>
  </si>
  <si>
    <t xml:space="preserve">Jetty Break</t>
  </si>
  <si>
    <t xml:space="preserve">Best surf spot in Wells. The jetties focus swell and create hollow peaks. Works at low to mid tide. Can get crowded when it's on. Parking at Drakes Island Rd.</t>
  </si>
  <si>
    <t xml:space="preserve">Wells Beach</t>
  </si>
  <si>
    <t xml:space="preserve">★★☆☆☆</t>
  </si>
  <si>
    <t xml:space="preserve">Long beach with variable sandbanks. Usually slower and mushier than the jetties. Good for beginners and longboarders.</t>
  </si>
  <si>
    <t xml:space="preserve">Moody Beach</t>
  </si>
  <si>
    <t xml:space="preserve">Quiet residential beach between Wells and Ogunquit. Similar to Wells Beach but less crowded. Public access limited.</t>
  </si>
  <si>
    <t xml:space="preserve">Ogunquit Beach</t>
  </si>
  <si>
    <t xml:space="preserve">Ogunquit</t>
  </si>
  <si>
    <t xml:space="preserve">Beautiful long beach. Picks up more SE swell than spots to the north. Good sandbars form after storms. Trolley parking system in summer.</t>
  </si>
  <si>
    <t xml:space="preserve">Ogunquit Rivermouth</t>
  </si>
  <si>
    <t xml:space="preserve">River Mouth</t>
  </si>
  <si>
    <t xml:space="preserve">Intermediate–Adv</t>
  </si>
  <si>
    <t xml:space="preserve">Where the Ogunquit River meets the ocean. Shifting sandbars create hollow, punchy waves. Best on outgoing tide at low. Can close out in big swell. Requires reading the banks.</t>
  </si>
  <si>
    <t xml:space="preserve">Long Sands Beach</t>
  </si>
  <si>
    <t xml:space="preserve">York</t>
  </si>
  <si>
    <t xml:space="preserve">One of Maine's most popular surf beaches. Long stretch with consistent peaks. Picks up NE–SE swell well. Roadside parking on Long Beach Ave. Several surf shops nearby.</t>
  </si>
  <si>
    <t xml:space="preserve">Short Sands Beach</t>
  </si>
  <si>
    <t xml:space="preserve">All Tides</t>
  </si>
  <si>
    <t xml:space="preserve">Small crescent beach in York village. Surrounded by buildings which can block wind. Works at all tides. Can get crowded – popular tourist beach. Limited parking.</t>
  </si>
  <si>
    <t xml:space="preserve">Pine Point</t>
  </si>
  <si>
    <t xml:space="preserve">River mouth setup at the Scarborough River. Shifting sandbars create punchy, hollow peaks — similar feel to Ogunquit Rivermouth. Sits inside Saco Bay which creates a shadow on SSE swell (loses energy vs Scarborough Beach on SSE days). Fires on NE/E groundswell when the river mouth banks line up. Best at low tide when sandbars are exposed. Source: real-world observation, May 2026.</t>
  </si>
  <si>
    <t xml:space="preserve">🌊  Swell Finder — Best Spots for Today's Conditions</t>
  </si>
  <si>
    <t xml:space="preserve">Select the swell direction and tide below — the table will highlight all matching spots ranked by quality.</t>
  </si>
  <si>
    <t xml:space="preserve">TODAY'S SWELL DIRECTION →</t>
  </si>
  <si>
    <t xml:space="preserve">← Click to select from dropdown</t>
  </si>
  <si>
    <t xml:space="preserve">Match</t>
  </si>
  <si>
    <t xml:space="preserve">✅ = Spot works for selected swell direction  |  — = Spot not ideal  |  Add more states/spots to 'Spots Database' tab to expand</t>
  </si>
  <si>
    <t xml:space="preserve">Legend &amp; How to Use</t>
  </si>
  <si>
    <t xml:space="preserve">HOW TO USE</t>
  </si>
  <si>
    <t xml:space="preserve">Step 1</t>
  </si>
  <si>
    <t xml:space="preserve">Go to the 'Swell Finder' tab. Click cell C4 and choose today's swell direction from the dropdown (N, NE, E, SE, S, SW).</t>
  </si>
  <si>
    <t xml:space="preserve">Step 2</t>
  </si>
  <si>
    <t xml:space="preserve">Green rows show spots that work for that swell — sorted by quality rating.</t>
  </si>
  <si>
    <t xml:space="preserve">Step 3</t>
  </si>
  <si>
    <t xml:space="preserve">Use the 'Spots Database' tab to filter by any column (tide, skill, wave type, crowd level, region) using the dropdown arrows in row 3.</t>
  </si>
  <si>
    <t xml:space="preserve">Step 4</t>
  </si>
  <si>
    <t xml:space="preserve">To add new spots (from other pages or other states), add rows to the 'Spots Database' tab following the same format. The Swell Finder will automatically include them.</t>
  </si>
  <si>
    <t xml:space="preserve">SWELL DIRECTION GUIDE</t>
  </si>
  <si>
    <t xml:space="preserve">N (North)</t>
  </si>
  <si>
    <t xml:space="preserve">Works for spots facing south. Rare on Maine coast — mostly generates chop.</t>
  </si>
  <si>
    <t xml:space="preserve">NE (Northeast)</t>
  </si>
  <si>
    <t xml:space="preserve">The money direction for Maine. Most spots are angled to receive NE groundswell. Classic winter/fall swell.</t>
  </si>
  <si>
    <t xml:space="preserve">E (East)</t>
  </si>
  <si>
    <t xml:space="preserve">Also great for Maine — pure east swell lines up nicely on the straight beaches.</t>
  </si>
  <si>
    <t xml:space="preserve">SE (Southeast)</t>
  </si>
  <si>
    <t xml:space="preserve">Reaches more southern Maine spots. Hurricane swells often arrive from SE in late summer/fall.</t>
  </si>
  <si>
    <t xml:space="preserve">S (South)</t>
  </si>
  <si>
    <t xml:space="preserve">Rarely produces good surf in Maine — coast faces more NE. Can create wind swell.</t>
  </si>
  <si>
    <t xml:space="preserve">SW (Southwest)</t>
  </si>
  <si>
    <t xml:space="preserve">Mostly onshore or cross-shore for Maine. Usually poor conditions.</t>
  </si>
  <si>
    <t xml:space="preserve">FIELD DEFINITIONS</t>
  </si>
  <si>
    <t xml:space="preserve">1–5 star rating from source guidebook (★★★★★ = world class, ★★★ = good regional spot)</t>
  </si>
  <si>
    <t xml:space="preserve">Low = 0–1 hr around low tide, Mid = 2 hrs either side of mid, High = near high tide, All = works throughout</t>
  </si>
  <si>
    <t xml:space="preserve">Sand = beach break sandbars, Rock = rocky bottom, Sand/Rock = mixed</t>
  </si>
  <si>
    <t xml:space="preserve">Beach Break = peaks shift, Point Break = consistent peeling wall, River Mouth = tidal bar/channel break, Jetty = structure-focused</t>
  </si>
  <si>
    <t xml:space="preserve">Beginner = forgiving waves, Intermediate = some power/current, Advanced = serious wave or hazard</t>
  </si>
  <si>
    <t xml:space="preserve">Low = usually uncrowded, Med = moderate lineup, High = popular spot</t>
  </si>
  <si>
    <t xml:space="preserve">DATA SOURCE</t>
  </si>
  <si>
    <t xml:space="preserve">Source</t>
  </si>
  <si>
    <t xml:space="preserve">The Stormrider Surf Guide – North America. Photos taken by Lin (4 pages: Maine North + Maine South sections). March 2026.</t>
  </si>
  <si>
    <t xml:space="preserve">Next steps</t>
  </si>
  <si>
    <t xml:space="preserve">Add New England (NH, MA, RI, CT) and Mid-Atlantic (NJ, NY, DE, MD, VA, NC) spots to expand the East Coast database. Consider adding NOAA buoy codes per spot for live swell data integration (Option 2 dashboard).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</si>
</sst>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2E6DA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E8873A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E8873A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1F7A8C"/>
        <bgColor rgb="FF2E6DA4"/>
      </patternFill>
    </fill>
    <fill>
      <patternFill patternType="solid">
        <fgColor rgb="FFDEEAF1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DEEAF1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5E6C8"/>
        <bgColor rgb="FFFFEB9C"/>
      </patternFill>
    </fill>
    <fill>
      <patternFill patternType="solid">
        <fgColor rgb="FFFFEB9C"/>
        <bgColor rgb="FFF5E6C8"/>
      </patternFill>
    </fill>
    <fill>
      <patternFill patternType="solid">
        <fgColor rgb="FF2E6DA4"/>
        <bgColor rgb="FF1F7A8C"/>
      </patternFill>
    </fill>
    <fill>
      <patternFill patternType="solid">
        <fgColor rgb="FFD9D9D9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B3A5C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5E6C8"/>
          <bgColor rgb="FF000000"/>
        </patternFill>
      </fill>
    </dxf>
    <dxf>
      <fill>
        <patternFill patternType="solid">
          <fgColor rgb="FF1F7A8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E8873A"/>
          <bgColor rgb="FF000000"/>
        </patternFill>
      </fill>
    </dxf>
    <dxf>
      <font>
        <name val="Arial"/>
        <charset val="1"/>
        <family val="0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99999"/>
        <sz val="10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375623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99999"/>
        <sz val="10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AAAAAA"/>
      <rgbColor rgb="FF888888"/>
      <rgbColor rgb="FF9999FF"/>
      <rgbColor rgb="FF993366"/>
      <rgbColor rgb="FFF2F2F2"/>
      <rgbColor rgb="FFDEEAF1"/>
      <rgbColor rgb="FF660066"/>
      <rgbColor rgb="FFFF8080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99CCFF"/>
      <rgbColor rgb="FFFF99CC"/>
      <rgbColor rgb="FFCC99FF"/>
      <rgbColor rgb="FFF5E6C8"/>
      <rgbColor rgb="FF3366FF"/>
      <rgbColor rgb="FF33CCCC"/>
      <rgbColor rgb="FF99CC00"/>
      <rgbColor rgb="FFFFCC00"/>
      <rgbColor rgb="FFE8873A"/>
      <rgbColor rgb="FFFF6600"/>
      <rgbColor rgb="FF666666"/>
      <rgbColor rgb="FF999999"/>
      <rgbColor rgb="FF1B3A5C"/>
      <rgbColor rgb="FF339966"/>
      <rgbColor rgb="FF003300"/>
      <rgbColor rgb="FF375623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T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6"/>
    <col collapsed="false" customWidth="true" hidden="false" outlineLevel="0" max="5" min="5" style="1" width="16"/>
    <col collapsed="false" customWidth="true" hidden="false" outlineLevel="0" max="11" min="6" style="1" width="5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5" min="15" style="1" width="16"/>
    <col collapsed="false" customWidth="true" hidden="false" outlineLevel="0" max="16" min="16" style="1" width="18"/>
    <col collapsed="false" customWidth="true" hidden="false" outlineLevel="0" max="17" min="17" style="1" width="14"/>
    <col collapsed="false" customWidth="true" hidden="false" outlineLevel="0" max="19" min="18" style="1" width="11"/>
    <col collapsed="false" customWidth="true" hidden="false" outlineLevel="0" max="20" min="20" style="1" width="55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4" t="s">
        <v>2</v>
      </c>
      <c r="G2" s="4"/>
      <c r="H2" s="4"/>
      <c r="I2" s="4"/>
      <c r="J2" s="4"/>
      <c r="K2" s="4"/>
    </row>
    <row r="3" customFormat="false" ht="36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</row>
    <row r="4" customFormat="false" ht="48" hidden="false" customHeight="true" outlineLevel="0" collapsed="false">
      <c r="A4" s="7" t="n">
        <v>1</v>
      </c>
      <c r="B4" s="7" t="s">
        <v>23</v>
      </c>
      <c r="C4" s="8" t="s">
        <v>24</v>
      </c>
      <c r="D4" s="7" t="s">
        <v>25</v>
      </c>
      <c r="E4" s="7" t="s">
        <v>26</v>
      </c>
      <c r="F4" s="9" t="s">
        <v>8</v>
      </c>
      <c r="G4" s="10" t="s">
        <v>27</v>
      </c>
      <c r="H4" s="10" t="s">
        <v>27</v>
      </c>
      <c r="I4" s="9" t="s">
        <v>8</v>
      </c>
      <c r="J4" s="9" t="s">
        <v>8</v>
      </c>
      <c r="K4" s="9" t="s">
        <v>8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11" t="s">
        <v>35</v>
      </c>
      <c r="T4" s="12" t="s">
        <v>36</v>
      </c>
    </row>
    <row r="5" customFormat="false" ht="48" hidden="false" customHeight="true" outlineLevel="0" collapsed="false">
      <c r="A5" s="13" t="n">
        <v>2</v>
      </c>
      <c r="B5" s="13" t="s">
        <v>37</v>
      </c>
      <c r="C5" s="8" t="s">
        <v>24</v>
      </c>
      <c r="D5" s="13" t="s">
        <v>25</v>
      </c>
      <c r="E5" s="13" t="s">
        <v>37</v>
      </c>
      <c r="F5" s="9" t="s">
        <v>8</v>
      </c>
      <c r="G5" s="10" t="s">
        <v>27</v>
      </c>
      <c r="H5" s="10" t="s">
        <v>27</v>
      </c>
      <c r="I5" s="10" t="s">
        <v>27</v>
      </c>
      <c r="J5" s="9" t="s">
        <v>8</v>
      </c>
      <c r="K5" s="9" t="s">
        <v>8</v>
      </c>
      <c r="L5" s="13" t="s">
        <v>38</v>
      </c>
      <c r="M5" s="13" t="s">
        <v>29</v>
      </c>
      <c r="N5" s="13" t="s">
        <v>30</v>
      </c>
      <c r="O5" s="13" t="s">
        <v>31</v>
      </c>
      <c r="P5" s="13" t="s">
        <v>39</v>
      </c>
      <c r="Q5" s="13" t="s">
        <v>40</v>
      </c>
      <c r="R5" s="13" t="s">
        <v>41</v>
      </c>
      <c r="S5" s="14" t="s">
        <v>42</v>
      </c>
      <c r="T5" s="12" t="s">
        <v>43</v>
      </c>
    </row>
    <row r="6" customFormat="false" ht="48" hidden="false" customHeight="true" outlineLevel="0" collapsed="false">
      <c r="A6" s="7" t="n">
        <v>3</v>
      </c>
      <c r="B6" s="7" t="s">
        <v>44</v>
      </c>
      <c r="C6" s="8" t="s">
        <v>24</v>
      </c>
      <c r="D6" s="7" t="s">
        <v>25</v>
      </c>
      <c r="E6" s="7" t="s">
        <v>26</v>
      </c>
      <c r="F6" s="9" t="s">
        <v>8</v>
      </c>
      <c r="G6" s="10" t="s">
        <v>27</v>
      </c>
      <c r="H6" s="10" t="s">
        <v>27</v>
      </c>
      <c r="I6" s="10" t="s">
        <v>27</v>
      </c>
      <c r="J6" s="9" t="s">
        <v>8</v>
      </c>
      <c r="K6" s="9" t="s">
        <v>8</v>
      </c>
      <c r="L6" s="7" t="s">
        <v>28</v>
      </c>
      <c r="M6" s="7" t="s">
        <v>45</v>
      </c>
      <c r="N6" s="7" t="s">
        <v>30</v>
      </c>
      <c r="O6" s="7" t="s">
        <v>31</v>
      </c>
      <c r="P6" s="7" t="s">
        <v>46</v>
      </c>
      <c r="Q6" s="7" t="s">
        <v>47</v>
      </c>
      <c r="R6" s="7" t="s">
        <v>48</v>
      </c>
      <c r="S6" s="15" t="s">
        <v>42</v>
      </c>
      <c r="T6" s="12" t="s">
        <v>49</v>
      </c>
    </row>
    <row r="7" customFormat="false" ht="48" hidden="false" customHeight="true" outlineLevel="0" collapsed="false">
      <c r="A7" s="13" t="n">
        <v>4</v>
      </c>
      <c r="B7" s="13" t="s">
        <v>50</v>
      </c>
      <c r="C7" s="8" t="s">
        <v>24</v>
      </c>
      <c r="D7" s="13" t="s">
        <v>25</v>
      </c>
      <c r="E7" s="13" t="s">
        <v>51</v>
      </c>
      <c r="F7" s="9" t="s">
        <v>8</v>
      </c>
      <c r="G7" s="10" t="s">
        <v>27</v>
      </c>
      <c r="H7" s="10" t="s">
        <v>27</v>
      </c>
      <c r="I7" s="9" t="s">
        <v>8</v>
      </c>
      <c r="J7" s="9" t="s">
        <v>8</v>
      </c>
      <c r="K7" s="9" t="s">
        <v>8</v>
      </c>
      <c r="L7" s="13" t="s">
        <v>28</v>
      </c>
      <c r="M7" s="13" t="s">
        <v>29</v>
      </c>
      <c r="N7" s="13" t="s">
        <v>30</v>
      </c>
      <c r="O7" s="13" t="s">
        <v>31</v>
      </c>
      <c r="P7" s="13" t="s">
        <v>32</v>
      </c>
      <c r="Q7" s="13" t="s">
        <v>33</v>
      </c>
      <c r="R7" s="13" t="s">
        <v>52</v>
      </c>
      <c r="S7" s="14" t="s">
        <v>42</v>
      </c>
      <c r="T7" s="12" t="s">
        <v>53</v>
      </c>
    </row>
    <row r="8" customFormat="false" ht="48" hidden="false" customHeight="true" outlineLevel="0" collapsed="false">
      <c r="A8" s="7" t="n">
        <v>5</v>
      </c>
      <c r="B8" s="7" t="s">
        <v>54</v>
      </c>
      <c r="C8" s="8" t="s">
        <v>24</v>
      </c>
      <c r="D8" s="7" t="s">
        <v>25</v>
      </c>
      <c r="E8" s="7" t="s">
        <v>55</v>
      </c>
      <c r="F8" s="9" t="s">
        <v>8</v>
      </c>
      <c r="G8" s="10" t="s">
        <v>27</v>
      </c>
      <c r="H8" s="10" t="s">
        <v>27</v>
      </c>
      <c r="I8" s="10" t="s">
        <v>27</v>
      </c>
      <c r="J8" s="9" t="s">
        <v>8</v>
      </c>
      <c r="K8" s="9" t="s">
        <v>8</v>
      </c>
      <c r="L8" s="7" t="s">
        <v>28</v>
      </c>
      <c r="M8" s="7" t="s">
        <v>29</v>
      </c>
      <c r="N8" s="7" t="s">
        <v>30</v>
      </c>
      <c r="O8" s="7" t="s">
        <v>31</v>
      </c>
      <c r="P8" s="7" t="s">
        <v>46</v>
      </c>
      <c r="Q8" s="7" t="s">
        <v>47</v>
      </c>
      <c r="R8" s="7" t="s">
        <v>34</v>
      </c>
      <c r="S8" s="15" t="s">
        <v>42</v>
      </c>
      <c r="T8" s="12" t="s">
        <v>56</v>
      </c>
    </row>
    <row r="9" customFormat="false" ht="48" hidden="false" customHeight="true" outlineLevel="0" collapsed="false">
      <c r="A9" s="13" t="n">
        <v>6</v>
      </c>
      <c r="B9" s="13" t="s">
        <v>57</v>
      </c>
      <c r="C9" s="8" t="s">
        <v>24</v>
      </c>
      <c r="D9" s="13" t="s">
        <v>25</v>
      </c>
      <c r="E9" s="13" t="s">
        <v>57</v>
      </c>
      <c r="F9" s="9" t="s">
        <v>8</v>
      </c>
      <c r="G9" s="10" t="s">
        <v>27</v>
      </c>
      <c r="H9" s="10" t="s">
        <v>27</v>
      </c>
      <c r="I9" s="9" t="s">
        <v>8</v>
      </c>
      <c r="J9" s="9" t="s">
        <v>8</v>
      </c>
      <c r="K9" s="9" t="s">
        <v>8</v>
      </c>
      <c r="L9" s="13" t="s">
        <v>28</v>
      </c>
      <c r="M9" s="13" t="s">
        <v>52</v>
      </c>
      <c r="N9" s="13" t="s">
        <v>58</v>
      </c>
      <c r="O9" s="13" t="s">
        <v>31</v>
      </c>
      <c r="P9" s="13" t="s">
        <v>46</v>
      </c>
      <c r="Q9" s="13" t="s">
        <v>33</v>
      </c>
      <c r="R9" s="13" t="s">
        <v>52</v>
      </c>
      <c r="S9" s="14" t="s">
        <v>42</v>
      </c>
      <c r="T9" s="12" t="s">
        <v>59</v>
      </c>
    </row>
    <row r="10" customFormat="false" ht="48" hidden="false" customHeight="true" outlineLevel="0" collapsed="false">
      <c r="A10" s="7" t="n">
        <v>7</v>
      </c>
      <c r="B10" s="7" t="s">
        <v>60</v>
      </c>
      <c r="C10" s="8" t="s">
        <v>24</v>
      </c>
      <c r="D10" s="7" t="s">
        <v>25</v>
      </c>
      <c r="E10" s="7" t="s">
        <v>55</v>
      </c>
      <c r="F10" s="9" t="s">
        <v>8</v>
      </c>
      <c r="G10" s="10" t="s">
        <v>27</v>
      </c>
      <c r="H10" s="10" t="s">
        <v>27</v>
      </c>
      <c r="I10" s="9" t="s">
        <v>8</v>
      </c>
      <c r="J10" s="9" t="s">
        <v>8</v>
      </c>
      <c r="K10" s="9" t="s">
        <v>8</v>
      </c>
      <c r="L10" s="7" t="s">
        <v>28</v>
      </c>
      <c r="M10" s="7" t="s">
        <v>52</v>
      </c>
      <c r="N10" s="7" t="s">
        <v>61</v>
      </c>
      <c r="O10" s="7" t="s">
        <v>62</v>
      </c>
      <c r="P10" s="7" t="s">
        <v>63</v>
      </c>
      <c r="Q10" s="7" t="s">
        <v>33</v>
      </c>
      <c r="R10" s="7" t="s">
        <v>52</v>
      </c>
      <c r="S10" s="11" t="s">
        <v>35</v>
      </c>
      <c r="T10" s="12" t="s">
        <v>64</v>
      </c>
    </row>
    <row r="11" customFormat="false" ht="48" hidden="false" customHeight="true" outlineLevel="0" collapsed="false">
      <c r="A11" s="13" t="n">
        <v>8</v>
      </c>
      <c r="B11" s="13" t="s">
        <v>65</v>
      </c>
      <c r="C11" s="16" t="s">
        <v>66</v>
      </c>
      <c r="D11" s="13" t="s">
        <v>25</v>
      </c>
      <c r="E11" s="13" t="s">
        <v>67</v>
      </c>
      <c r="F11" s="9" t="s">
        <v>8</v>
      </c>
      <c r="G11" s="10" t="s">
        <v>27</v>
      </c>
      <c r="H11" s="10" t="s">
        <v>27</v>
      </c>
      <c r="I11" s="9" t="s">
        <v>8</v>
      </c>
      <c r="J11" s="9" t="s">
        <v>8</v>
      </c>
      <c r="K11" s="9" t="s">
        <v>8</v>
      </c>
      <c r="L11" s="13" t="s">
        <v>28</v>
      </c>
      <c r="M11" s="13" t="s">
        <v>29</v>
      </c>
      <c r="N11" s="13" t="s">
        <v>58</v>
      </c>
      <c r="O11" s="13" t="s">
        <v>68</v>
      </c>
      <c r="P11" s="13" t="s">
        <v>46</v>
      </c>
      <c r="Q11" s="13" t="s">
        <v>33</v>
      </c>
      <c r="R11" s="13" t="s">
        <v>48</v>
      </c>
      <c r="S11" s="17" t="s">
        <v>35</v>
      </c>
      <c r="T11" s="12" t="s">
        <v>69</v>
      </c>
    </row>
    <row r="12" customFormat="false" ht="48" hidden="false" customHeight="true" outlineLevel="0" collapsed="false">
      <c r="A12" s="7" t="n">
        <v>9</v>
      </c>
      <c r="B12" s="7" t="s">
        <v>70</v>
      </c>
      <c r="C12" s="16" t="s">
        <v>66</v>
      </c>
      <c r="D12" s="7" t="s">
        <v>25</v>
      </c>
      <c r="E12" s="7" t="s">
        <v>67</v>
      </c>
      <c r="F12" s="9" t="s">
        <v>8</v>
      </c>
      <c r="G12" s="10" t="s">
        <v>27</v>
      </c>
      <c r="H12" s="10" t="s">
        <v>27</v>
      </c>
      <c r="I12" s="9" t="s">
        <v>8</v>
      </c>
      <c r="J12" s="9" t="s">
        <v>8</v>
      </c>
      <c r="K12" s="9" t="s">
        <v>8</v>
      </c>
      <c r="L12" s="7" t="s">
        <v>28</v>
      </c>
      <c r="M12" s="7" t="s">
        <v>29</v>
      </c>
      <c r="N12" s="7" t="s">
        <v>30</v>
      </c>
      <c r="O12" s="7" t="s">
        <v>31</v>
      </c>
      <c r="P12" s="7" t="s">
        <v>39</v>
      </c>
      <c r="Q12" s="7" t="s">
        <v>47</v>
      </c>
      <c r="R12" s="7" t="s">
        <v>48</v>
      </c>
      <c r="S12" s="15" t="s">
        <v>71</v>
      </c>
      <c r="T12" s="12" t="s">
        <v>72</v>
      </c>
    </row>
    <row r="13" customFormat="false" ht="48" hidden="false" customHeight="true" outlineLevel="0" collapsed="false">
      <c r="A13" s="13" t="n">
        <v>10</v>
      </c>
      <c r="B13" s="13" t="s">
        <v>73</v>
      </c>
      <c r="C13" s="16" t="s">
        <v>66</v>
      </c>
      <c r="D13" s="13" t="s">
        <v>25</v>
      </c>
      <c r="E13" s="13" t="s">
        <v>67</v>
      </c>
      <c r="F13" s="9" t="s">
        <v>8</v>
      </c>
      <c r="G13" s="10" t="s">
        <v>27</v>
      </c>
      <c r="H13" s="10" t="s">
        <v>27</v>
      </c>
      <c r="I13" s="9" t="s">
        <v>8</v>
      </c>
      <c r="J13" s="9" t="s">
        <v>8</v>
      </c>
      <c r="K13" s="9" t="s">
        <v>8</v>
      </c>
      <c r="L13" s="13" t="s">
        <v>28</v>
      </c>
      <c r="M13" s="13" t="s">
        <v>29</v>
      </c>
      <c r="N13" s="13" t="s">
        <v>30</v>
      </c>
      <c r="O13" s="13" t="s">
        <v>31</v>
      </c>
      <c r="P13" s="13" t="s">
        <v>39</v>
      </c>
      <c r="Q13" s="13" t="s">
        <v>47</v>
      </c>
      <c r="R13" s="13" t="s">
        <v>34</v>
      </c>
      <c r="S13" s="14" t="s">
        <v>71</v>
      </c>
      <c r="T13" s="12" t="s">
        <v>74</v>
      </c>
    </row>
    <row r="14" customFormat="false" ht="48" hidden="false" customHeight="true" outlineLevel="0" collapsed="false">
      <c r="A14" s="7" t="n">
        <v>11</v>
      </c>
      <c r="B14" s="7" t="s">
        <v>75</v>
      </c>
      <c r="C14" s="16" t="s">
        <v>66</v>
      </c>
      <c r="D14" s="7" t="s">
        <v>25</v>
      </c>
      <c r="E14" s="7" t="s">
        <v>76</v>
      </c>
      <c r="F14" s="9" t="s">
        <v>8</v>
      </c>
      <c r="G14" s="10" t="s">
        <v>27</v>
      </c>
      <c r="H14" s="10" t="s">
        <v>27</v>
      </c>
      <c r="I14" s="10" t="s">
        <v>27</v>
      </c>
      <c r="J14" s="9" t="s">
        <v>8</v>
      </c>
      <c r="K14" s="9" t="s">
        <v>8</v>
      </c>
      <c r="L14" s="7" t="s">
        <v>38</v>
      </c>
      <c r="M14" s="7" t="s">
        <v>29</v>
      </c>
      <c r="N14" s="7" t="s">
        <v>30</v>
      </c>
      <c r="O14" s="7" t="s">
        <v>31</v>
      </c>
      <c r="P14" s="7" t="s">
        <v>32</v>
      </c>
      <c r="Q14" s="7" t="s">
        <v>47</v>
      </c>
      <c r="R14" s="7" t="s">
        <v>48</v>
      </c>
      <c r="S14" s="15" t="s">
        <v>42</v>
      </c>
      <c r="T14" s="12" t="s">
        <v>77</v>
      </c>
    </row>
    <row r="15" customFormat="false" ht="48" hidden="false" customHeight="true" outlineLevel="0" collapsed="false">
      <c r="A15" s="13" t="n">
        <v>12</v>
      </c>
      <c r="B15" s="13" t="s">
        <v>78</v>
      </c>
      <c r="C15" s="16" t="s">
        <v>66</v>
      </c>
      <c r="D15" s="13" t="s">
        <v>25</v>
      </c>
      <c r="E15" s="13" t="s">
        <v>76</v>
      </c>
      <c r="F15" s="9" t="s">
        <v>8</v>
      </c>
      <c r="G15" s="10" t="s">
        <v>27</v>
      </c>
      <c r="H15" s="10" t="s">
        <v>27</v>
      </c>
      <c r="I15" s="10" t="s">
        <v>27</v>
      </c>
      <c r="J15" s="9" t="s">
        <v>8</v>
      </c>
      <c r="K15" s="9" t="s">
        <v>8</v>
      </c>
      <c r="L15" s="13" t="s">
        <v>38</v>
      </c>
      <c r="M15" s="13" t="s">
        <v>52</v>
      </c>
      <c r="N15" s="13" t="s">
        <v>30</v>
      </c>
      <c r="O15" s="13" t="s">
        <v>79</v>
      </c>
      <c r="P15" s="13" t="s">
        <v>80</v>
      </c>
      <c r="Q15" s="13" t="s">
        <v>47</v>
      </c>
      <c r="R15" s="13" t="s">
        <v>48</v>
      </c>
      <c r="S15" s="17" t="s">
        <v>35</v>
      </c>
      <c r="T15" s="12" t="s">
        <v>81</v>
      </c>
    </row>
    <row r="16" customFormat="false" ht="48" hidden="false" customHeight="true" outlineLevel="0" collapsed="false">
      <c r="A16" s="7" t="n">
        <v>13</v>
      </c>
      <c r="B16" s="7" t="s">
        <v>82</v>
      </c>
      <c r="C16" s="16" t="s">
        <v>66</v>
      </c>
      <c r="D16" s="7" t="s">
        <v>25</v>
      </c>
      <c r="E16" s="7" t="s">
        <v>83</v>
      </c>
      <c r="F16" s="9" t="s">
        <v>8</v>
      </c>
      <c r="G16" s="10" t="s">
        <v>27</v>
      </c>
      <c r="H16" s="10" t="s">
        <v>27</v>
      </c>
      <c r="I16" s="10" t="s">
        <v>27</v>
      </c>
      <c r="J16" s="9" t="s">
        <v>8</v>
      </c>
      <c r="K16" s="9" t="s">
        <v>8</v>
      </c>
      <c r="L16" s="7" t="s">
        <v>38</v>
      </c>
      <c r="M16" s="7" t="s">
        <v>29</v>
      </c>
      <c r="N16" s="7" t="s">
        <v>30</v>
      </c>
      <c r="O16" s="7" t="s">
        <v>31</v>
      </c>
      <c r="P16" s="7" t="s">
        <v>32</v>
      </c>
      <c r="Q16" s="7" t="s">
        <v>33</v>
      </c>
      <c r="R16" s="7" t="s">
        <v>48</v>
      </c>
      <c r="S16" s="11" t="s">
        <v>35</v>
      </c>
      <c r="T16" s="12" t="s">
        <v>84</v>
      </c>
    </row>
    <row r="17" customFormat="false" ht="48" hidden="false" customHeight="true" outlineLevel="0" collapsed="false">
      <c r="A17" s="13" t="n">
        <v>14</v>
      </c>
      <c r="B17" s="13" t="s">
        <v>85</v>
      </c>
      <c r="C17" s="16" t="s">
        <v>66</v>
      </c>
      <c r="D17" s="13" t="s">
        <v>25</v>
      </c>
      <c r="E17" s="13" t="s">
        <v>83</v>
      </c>
      <c r="F17" s="9" t="s">
        <v>8</v>
      </c>
      <c r="G17" s="10" t="s">
        <v>27</v>
      </c>
      <c r="H17" s="10" t="s">
        <v>27</v>
      </c>
      <c r="I17" s="10" t="s">
        <v>27</v>
      </c>
      <c r="J17" s="9" t="s">
        <v>8</v>
      </c>
      <c r="K17" s="9" t="s">
        <v>8</v>
      </c>
      <c r="L17" s="13" t="s">
        <v>38</v>
      </c>
      <c r="M17" s="13" t="s">
        <v>86</v>
      </c>
      <c r="N17" s="13" t="s">
        <v>30</v>
      </c>
      <c r="O17" s="13" t="s">
        <v>31</v>
      </c>
      <c r="P17" s="13" t="s">
        <v>39</v>
      </c>
      <c r="Q17" s="13" t="s">
        <v>40</v>
      </c>
      <c r="R17" s="13" t="s">
        <v>41</v>
      </c>
      <c r="S17" s="14" t="s">
        <v>42</v>
      </c>
      <c r="T17" s="12" t="s">
        <v>87</v>
      </c>
    </row>
    <row r="18" customFormat="false" ht="48" hidden="false" customHeight="true" outlineLevel="0" collapsed="false">
      <c r="A18" s="7" t="n">
        <v>15</v>
      </c>
      <c r="B18" s="7" t="s">
        <v>88</v>
      </c>
      <c r="C18" s="8" t="s">
        <v>24</v>
      </c>
      <c r="D18" s="7" t="s">
        <v>25</v>
      </c>
      <c r="E18" s="7" t="s">
        <v>26</v>
      </c>
      <c r="F18" s="9" t="s">
        <v>8</v>
      </c>
      <c r="G18" s="10" t="s">
        <v>27</v>
      </c>
      <c r="H18" s="10" t="s">
        <v>27</v>
      </c>
      <c r="I18" s="9" t="s">
        <v>8</v>
      </c>
      <c r="J18" s="9" t="s">
        <v>8</v>
      </c>
      <c r="K18" s="9" t="s">
        <v>8</v>
      </c>
      <c r="L18" s="7" t="s">
        <v>28</v>
      </c>
      <c r="M18" s="7" t="s">
        <v>52</v>
      </c>
      <c r="N18" s="7" t="s">
        <v>30</v>
      </c>
      <c r="O18" s="7" t="s">
        <v>79</v>
      </c>
      <c r="P18" s="7" t="s">
        <v>46</v>
      </c>
      <c r="Q18" s="7" t="s">
        <v>33</v>
      </c>
      <c r="R18" s="7" t="s">
        <v>34</v>
      </c>
      <c r="S18" s="11" t="s">
        <v>35</v>
      </c>
      <c r="T18" s="12" t="s">
        <v>89</v>
      </c>
    </row>
  </sheetData>
  <autoFilter ref="A3:T17"/>
  <mergeCells count="3">
    <mergeCell ref="A1:T1"/>
    <mergeCell ref="A2:E2"/>
    <mergeCell ref="F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8C"/>
    <pageSetUpPr fitToPage="fals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5" min="4" style="1" width="16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8"/>
  </cols>
  <sheetData>
    <row r="1" customFormat="false" ht="36" hidden="false" customHeight="true" outlineLevel="0" collapsed="false">
      <c r="A1" s="2" t="s">
        <v>90</v>
      </c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18" t="s">
        <v>91</v>
      </c>
      <c r="B2" s="18"/>
      <c r="C2" s="18"/>
      <c r="D2" s="18"/>
      <c r="E2" s="18"/>
      <c r="F2" s="18"/>
      <c r="G2" s="18"/>
      <c r="H2" s="18"/>
      <c r="I2" s="18"/>
    </row>
    <row r="3" customFormat="false" ht="13.5" hidden="false" customHeight="true" outlineLevel="0" collapsed="false"/>
    <row r="4" customFormat="false" ht="30" hidden="false" customHeight="true" outlineLevel="0" collapsed="false">
      <c r="A4" s="19" t="s">
        <v>92</v>
      </c>
      <c r="B4" s="19"/>
      <c r="C4" s="20" t="s">
        <v>9</v>
      </c>
      <c r="D4" s="3" t="s">
        <v>93</v>
      </c>
      <c r="E4" s="3"/>
      <c r="F4" s="3"/>
      <c r="G4" s="3"/>
      <c r="H4" s="3"/>
      <c r="I4" s="3"/>
    </row>
    <row r="5" customFormat="false" ht="30" hidden="false" customHeight="true" outlineLevel="0" collapsed="false"/>
    <row r="6" customFormat="false" ht="13.5" hidden="false" customHeight="true" outlineLevel="0" collapsed="false"/>
    <row r="7" customFormat="false" ht="33.75" hidden="false" customHeight="true" outlineLevel="0" collapsed="false">
      <c r="A7" s="21" t="s">
        <v>94</v>
      </c>
      <c r="B7" s="21" t="s">
        <v>21</v>
      </c>
      <c r="C7" s="21" t="s">
        <v>4</v>
      </c>
      <c r="D7" s="21" t="s">
        <v>5</v>
      </c>
      <c r="E7" s="21" t="s">
        <v>7</v>
      </c>
      <c r="F7" s="21" t="s">
        <v>14</v>
      </c>
      <c r="G7" s="21" t="s">
        <v>15</v>
      </c>
      <c r="H7" s="21" t="s">
        <v>17</v>
      </c>
      <c r="I7" s="21" t="s">
        <v>18</v>
      </c>
    </row>
    <row r="8" customFormat="false" ht="27.75" hidden="false" customHeight="true" outlineLevel="0" collapsed="false">
      <c r="A8" s="22" t="str">
        <f aca="false">IF(OR(AND($C$4="N",'Spots Database'!F4="Y"),AND($C$4="NE",'Spots Database'!G4="Y"),AND($C$4="E",'Spots Database'!H4="Y"),AND($C$4="SE",'Spots Database'!I4="Y"),AND($C$4="S",'Spots Database'!J4="Y"),AND($C$4="SW",'Spots Database'!K4="Y")),"✅","—")</f>
        <v>✅</v>
      </c>
      <c r="B8" s="23" t="str">
        <f aca="false">'Spots Database'!S4</f>
        <v>★★★★☆</v>
      </c>
      <c r="C8" s="7" t="str">
        <f aca="false">'Spots Database'!B4</f>
        <v>Higgins Beach</v>
      </c>
      <c r="D8" s="7" t="str">
        <f aca="false">'Spots Database'!C4</f>
        <v>Maine – North</v>
      </c>
      <c r="E8" s="7" t="str">
        <f aca="false">'Spots Database'!E4</f>
        <v>Scarborough</v>
      </c>
      <c r="F8" s="7" t="str">
        <f aca="false">'Spots Database'!L4</f>
        <v>NE / E</v>
      </c>
      <c r="G8" s="7" t="str">
        <f aca="false">'Spots Database'!M4</f>
        <v>Low–Mid</v>
      </c>
      <c r="H8" s="7" t="str">
        <f aca="false">'Spots Database'!O4</f>
        <v>Beach Break</v>
      </c>
      <c r="I8" s="7" t="str">
        <f aca="false">'Spots Database'!P4</f>
        <v>Beginner–Int</v>
      </c>
    </row>
    <row r="9" customFormat="false" ht="27.75" hidden="false" customHeight="true" outlineLevel="0" collapsed="false">
      <c r="A9" s="22" t="str">
        <f aca="false">IF(OR(AND($C$4="N",'Spots Database'!F5="Y"),AND($C$4="NE",'Spots Database'!G5="Y"),AND($C$4="E",'Spots Database'!H5="Y"),AND($C$4="SE",'Spots Database'!I5="Y"),AND($C$4="S",'Spots Database'!J5="Y"),AND($C$4="SW",'Spots Database'!K5="Y")),"✅","—")</f>
        <v>✅</v>
      </c>
      <c r="B9" s="23" t="str">
        <f aca="false">'Spots Database'!S5</f>
        <v>★★★☆☆</v>
      </c>
      <c r="C9" s="13" t="str">
        <f aca="false">'Spots Database'!B5</f>
        <v>Old Orchard Beach</v>
      </c>
      <c r="D9" s="13" t="str">
        <f aca="false">'Spots Database'!C5</f>
        <v>Maine – North</v>
      </c>
      <c r="E9" s="13" t="str">
        <f aca="false">'Spots Database'!E5</f>
        <v>Old Orchard Beach</v>
      </c>
      <c r="F9" s="13" t="str">
        <f aca="false">'Spots Database'!L5</f>
        <v>NE / E / SE</v>
      </c>
      <c r="G9" s="13" t="str">
        <f aca="false">'Spots Database'!M5</f>
        <v>Low–Mid</v>
      </c>
      <c r="H9" s="13" t="str">
        <f aca="false">'Spots Database'!O5</f>
        <v>Beach Break</v>
      </c>
      <c r="I9" s="13" t="str">
        <f aca="false">'Spots Database'!P5</f>
        <v>Beginner</v>
      </c>
    </row>
    <row r="10" customFormat="false" ht="27.75" hidden="false" customHeight="true" outlineLevel="0" collapsed="false">
      <c r="A10" s="22" t="str">
        <f aca="false">IF(OR(AND($C$4="N",'Spots Database'!F6="Y"),AND($C$4="NE",'Spots Database'!G6="Y"),AND($C$4="E",'Spots Database'!H6="Y"),AND($C$4="SE",'Spots Database'!I6="Y"),AND($C$4="S",'Spots Database'!J6="Y"),AND($C$4="SW",'Spots Database'!K6="Y")),"✅","—")</f>
        <v>✅</v>
      </c>
      <c r="B10" s="23" t="str">
        <f aca="false">'Spots Database'!S6</f>
        <v>★★★☆☆</v>
      </c>
      <c r="C10" s="7" t="str">
        <f aca="false">'Spots Database'!B6</f>
        <v>Scarborough Beach</v>
      </c>
      <c r="D10" s="7" t="str">
        <f aca="false">'Spots Database'!C6</f>
        <v>Maine – North</v>
      </c>
      <c r="E10" s="7" t="str">
        <f aca="false">'Spots Database'!E6</f>
        <v>Scarborough</v>
      </c>
      <c r="F10" s="7" t="str">
        <f aca="false">'Spots Database'!L6</f>
        <v>NE / E</v>
      </c>
      <c r="G10" s="7" t="str">
        <f aca="false">'Spots Database'!M6</f>
        <v>Mid</v>
      </c>
      <c r="H10" s="7" t="str">
        <f aca="false">'Spots Database'!O6</f>
        <v>Beach Break</v>
      </c>
      <c r="I10" s="7" t="str">
        <f aca="false">'Spots Database'!P6</f>
        <v>Intermediate</v>
      </c>
    </row>
    <row r="11" customFormat="false" ht="27.75" hidden="false" customHeight="true" outlineLevel="0" collapsed="false">
      <c r="A11" s="22" t="str">
        <f aca="false">IF(OR(AND($C$4="N",'Spots Database'!F7="Y"),AND($C$4="NE",'Spots Database'!G7="Y"),AND($C$4="E",'Spots Database'!H7="Y"),AND($C$4="SE",'Spots Database'!I7="Y"),AND($C$4="S",'Spots Database'!J7="Y"),AND($C$4="SW",'Spots Database'!K7="Y")),"✅","—")</f>
        <v>✅</v>
      </c>
      <c r="B11" s="23" t="str">
        <f aca="false">'Spots Database'!S7</f>
        <v>★★★☆☆</v>
      </c>
      <c r="C11" s="13" t="str">
        <f aca="false">'Spots Database'!B7</f>
        <v>Fortunes Rocks Beach</v>
      </c>
      <c r="D11" s="13" t="str">
        <f aca="false">'Spots Database'!C7</f>
        <v>Maine – North</v>
      </c>
      <c r="E11" s="13" t="str">
        <f aca="false">'Spots Database'!E7</f>
        <v>Biddeford</v>
      </c>
      <c r="F11" s="13" t="str">
        <f aca="false">'Spots Database'!L7</f>
        <v>NE / E</v>
      </c>
      <c r="G11" s="13" t="str">
        <f aca="false">'Spots Database'!M7</f>
        <v>Low–Mid</v>
      </c>
      <c r="H11" s="13" t="str">
        <f aca="false">'Spots Database'!O7</f>
        <v>Beach Break</v>
      </c>
      <c r="I11" s="13" t="str">
        <f aca="false">'Spots Database'!P7</f>
        <v>Beginner–Int</v>
      </c>
    </row>
    <row r="12" customFormat="false" ht="27.75" hidden="false" customHeight="true" outlineLevel="0" collapsed="false">
      <c r="A12" s="22" t="str">
        <f aca="false">IF(OR(AND($C$4="N",'Spots Database'!F8="Y"),AND($C$4="NE",'Spots Database'!G8="Y"),AND($C$4="E",'Spots Database'!H8="Y"),AND($C$4="SE",'Spots Database'!I8="Y"),AND($C$4="S",'Spots Database'!J8="Y"),AND($C$4="SW",'Spots Database'!K8="Y")),"✅","—")</f>
        <v>✅</v>
      </c>
      <c r="B12" s="23" t="str">
        <f aca="false">'Spots Database'!S8</f>
        <v>★★★☆☆</v>
      </c>
      <c r="C12" s="7" t="str">
        <f aca="false">'Spots Database'!B8</f>
        <v>Kennebunk Beach</v>
      </c>
      <c r="D12" s="7" t="str">
        <f aca="false">'Spots Database'!C8</f>
        <v>Maine – North</v>
      </c>
      <c r="E12" s="7" t="str">
        <f aca="false">'Spots Database'!E8</f>
        <v>Kennebunk</v>
      </c>
      <c r="F12" s="7" t="str">
        <f aca="false">'Spots Database'!L8</f>
        <v>NE / E</v>
      </c>
      <c r="G12" s="7" t="str">
        <f aca="false">'Spots Database'!M8</f>
        <v>Low–Mid</v>
      </c>
      <c r="H12" s="7" t="str">
        <f aca="false">'Spots Database'!O8</f>
        <v>Beach Break</v>
      </c>
      <c r="I12" s="7" t="str">
        <f aca="false">'Spots Database'!P8</f>
        <v>Intermediate</v>
      </c>
    </row>
    <row r="13" customFormat="false" ht="27.75" hidden="false" customHeight="true" outlineLevel="0" collapsed="false">
      <c r="A13" s="22" t="str">
        <f aca="false">IF(OR(AND($C$4="N",'Spots Database'!F9="Y"),AND($C$4="NE",'Spots Database'!G9="Y"),AND($C$4="E",'Spots Database'!H9="Y"),AND($C$4="SE",'Spots Database'!I9="Y"),AND($C$4="S",'Spots Database'!J9="Y"),AND($C$4="SW",'Spots Database'!K9="Y")),"✅","—")</f>
        <v>✅</v>
      </c>
      <c r="B13" s="23" t="str">
        <f aca="false">'Spots Database'!S9</f>
        <v>★★★☆☆</v>
      </c>
      <c r="C13" s="13" t="str">
        <f aca="false">'Spots Database'!B9</f>
        <v>Kennebunkport</v>
      </c>
      <c r="D13" s="13" t="str">
        <f aca="false">'Spots Database'!C9</f>
        <v>Maine – North</v>
      </c>
      <c r="E13" s="13" t="str">
        <f aca="false">'Spots Database'!E9</f>
        <v>Kennebunkport</v>
      </c>
      <c r="F13" s="13" t="str">
        <f aca="false">'Spots Database'!L9</f>
        <v>NE / E</v>
      </c>
      <c r="G13" s="13" t="str">
        <f aca="false">'Spots Database'!M9</f>
        <v>Low</v>
      </c>
      <c r="H13" s="13" t="str">
        <f aca="false">'Spots Database'!O9</f>
        <v>Beach Break</v>
      </c>
      <c r="I13" s="13" t="str">
        <f aca="false">'Spots Database'!P9</f>
        <v>Intermediate</v>
      </c>
    </row>
    <row r="14" customFormat="false" ht="27.75" hidden="false" customHeight="true" outlineLevel="0" collapsed="false">
      <c r="A14" s="22" t="str">
        <f aca="false">IF(OR(AND($C$4="N",'Spots Database'!F10="Y"),AND($C$4="NE",'Spots Database'!G10="Y"),AND($C$4="E",'Spots Database'!H10="Y"),AND($C$4="SE",'Spots Database'!I10="Y"),AND($C$4="S",'Spots Database'!J10="Y"),AND($C$4="SW",'Spots Database'!K10="Y")),"✅","—")</f>
        <v>✅</v>
      </c>
      <c r="B14" s="23" t="str">
        <f aca="false">'Spots Database'!S10</f>
        <v>★★★★☆</v>
      </c>
      <c r="C14" s="7" t="str">
        <f aca="false">'Spots Database'!B10</f>
        <v>Lox Point</v>
      </c>
      <c r="D14" s="7" t="str">
        <f aca="false">'Spots Database'!C10</f>
        <v>Maine – North</v>
      </c>
      <c r="E14" s="7" t="str">
        <f aca="false">'Spots Database'!E10</f>
        <v>Kennebunk</v>
      </c>
      <c r="F14" s="7" t="str">
        <f aca="false">'Spots Database'!L10</f>
        <v>NE / E</v>
      </c>
      <c r="G14" s="7" t="str">
        <f aca="false">'Spots Database'!M10</f>
        <v>Low</v>
      </c>
      <c r="H14" s="7" t="str">
        <f aca="false">'Spots Database'!O10</f>
        <v>Point Break</v>
      </c>
      <c r="I14" s="7" t="str">
        <f aca="false">'Spots Database'!P10</f>
        <v>Advanced</v>
      </c>
    </row>
    <row r="15" customFormat="false" ht="27.75" hidden="false" customHeight="true" outlineLevel="0" collapsed="false">
      <c r="A15" s="22" t="str">
        <f aca="false">IF(OR(AND($C$4="N",'Spots Database'!F11="Y"),AND($C$4="NE",'Spots Database'!G11="Y"),AND($C$4="E",'Spots Database'!H11="Y"),AND($C$4="SE",'Spots Database'!I11="Y"),AND($C$4="S",'Spots Database'!J11="Y"),AND($C$4="SW",'Spots Database'!K11="Y")),"✅","—")</f>
        <v>✅</v>
      </c>
      <c r="B15" s="23" t="str">
        <f aca="false">'Spots Database'!S11</f>
        <v>★★★★☆</v>
      </c>
      <c r="C15" s="13" t="str">
        <f aca="false">'Spots Database'!B11</f>
        <v>Wells Jetties</v>
      </c>
      <c r="D15" s="13" t="str">
        <f aca="false">'Spots Database'!C11</f>
        <v>Maine – South</v>
      </c>
      <c r="E15" s="13" t="str">
        <f aca="false">'Spots Database'!E11</f>
        <v>Wells</v>
      </c>
      <c r="F15" s="13" t="str">
        <f aca="false">'Spots Database'!L11</f>
        <v>NE / E</v>
      </c>
      <c r="G15" s="13" t="str">
        <f aca="false">'Spots Database'!M11</f>
        <v>Low–Mid</v>
      </c>
      <c r="H15" s="13" t="str">
        <f aca="false">'Spots Database'!O11</f>
        <v>Jetty Break</v>
      </c>
      <c r="I15" s="13" t="str">
        <f aca="false">'Spots Database'!P11</f>
        <v>Intermediate</v>
      </c>
    </row>
    <row r="16" customFormat="false" ht="27.75" hidden="false" customHeight="true" outlineLevel="0" collapsed="false">
      <c r="A16" s="22" t="str">
        <f aca="false">IF(OR(AND($C$4="N",'Spots Database'!F12="Y"),AND($C$4="NE",'Spots Database'!G12="Y"),AND($C$4="E",'Spots Database'!H12="Y"),AND($C$4="SE",'Spots Database'!I12="Y"),AND($C$4="S",'Spots Database'!J12="Y"),AND($C$4="SW",'Spots Database'!K12="Y")),"✅","—")</f>
        <v>✅</v>
      </c>
      <c r="B16" s="23" t="str">
        <f aca="false">'Spots Database'!S12</f>
        <v>★★☆☆☆</v>
      </c>
      <c r="C16" s="7" t="str">
        <f aca="false">'Spots Database'!B12</f>
        <v>Wells Beach</v>
      </c>
      <c r="D16" s="7" t="str">
        <f aca="false">'Spots Database'!C12</f>
        <v>Maine – South</v>
      </c>
      <c r="E16" s="7" t="str">
        <f aca="false">'Spots Database'!E12</f>
        <v>Wells</v>
      </c>
      <c r="F16" s="7" t="str">
        <f aca="false">'Spots Database'!L12</f>
        <v>NE / E</v>
      </c>
      <c r="G16" s="7" t="str">
        <f aca="false">'Spots Database'!M12</f>
        <v>Low–Mid</v>
      </c>
      <c r="H16" s="7" t="str">
        <f aca="false">'Spots Database'!O12</f>
        <v>Beach Break</v>
      </c>
      <c r="I16" s="7" t="str">
        <f aca="false">'Spots Database'!P12</f>
        <v>Beginner</v>
      </c>
    </row>
    <row r="17" customFormat="false" ht="27.75" hidden="false" customHeight="true" outlineLevel="0" collapsed="false">
      <c r="A17" s="22" t="str">
        <f aca="false">IF(OR(AND($C$4="N",'Spots Database'!F13="Y"),AND($C$4="NE",'Spots Database'!G13="Y"),AND($C$4="E",'Spots Database'!H13="Y"),AND($C$4="SE",'Spots Database'!I13="Y"),AND($C$4="S",'Spots Database'!J13="Y"),AND($C$4="SW",'Spots Database'!K13="Y")),"✅","—")</f>
        <v>✅</v>
      </c>
      <c r="B17" s="23" t="str">
        <f aca="false">'Spots Database'!S13</f>
        <v>★★☆☆☆</v>
      </c>
      <c r="C17" s="13" t="str">
        <f aca="false">'Spots Database'!B13</f>
        <v>Moody Beach</v>
      </c>
      <c r="D17" s="13" t="str">
        <f aca="false">'Spots Database'!C13</f>
        <v>Maine – South</v>
      </c>
      <c r="E17" s="13" t="str">
        <f aca="false">'Spots Database'!E13</f>
        <v>Wells</v>
      </c>
      <c r="F17" s="13" t="str">
        <f aca="false">'Spots Database'!L13</f>
        <v>NE / E</v>
      </c>
      <c r="G17" s="13" t="str">
        <f aca="false">'Spots Database'!M13</f>
        <v>Low–Mid</v>
      </c>
      <c r="H17" s="13" t="str">
        <f aca="false">'Spots Database'!O13</f>
        <v>Beach Break</v>
      </c>
      <c r="I17" s="13" t="str">
        <f aca="false">'Spots Database'!P13</f>
        <v>Beginner</v>
      </c>
    </row>
    <row r="18" customFormat="false" ht="27.75" hidden="false" customHeight="true" outlineLevel="0" collapsed="false">
      <c r="A18" s="22" t="str">
        <f aca="false">IF(OR(AND($C$4="N",'Spots Database'!F14="Y"),AND($C$4="NE",'Spots Database'!G14="Y"),AND($C$4="E",'Spots Database'!H14="Y"),AND($C$4="SE",'Spots Database'!I14="Y"),AND($C$4="S",'Spots Database'!J14="Y"),AND($C$4="SW",'Spots Database'!K14="Y")),"✅","—")</f>
        <v>✅</v>
      </c>
      <c r="B18" s="23" t="str">
        <f aca="false">'Spots Database'!S14</f>
        <v>★★★☆☆</v>
      </c>
      <c r="C18" s="7" t="str">
        <f aca="false">'Spots Database'!B14</f>
        <v>Ogunquit Beach</v>
      </c>
      <c r="D18" s="7" t="str">
        <f aca="false">'Spots Database'!C14</f>
        <v>Maine – South</v>
      </c>
      <c r="E18" s="7" t="str">
        <f aca="false">'Spots Database'!E14</f>
        <v>Ogunquit</v>
      </c>
      <c r="F18" s="7" t="str">
        <f aca="false">'Spots Database'!L14</f>
        <v>NE / E / SE</v>
      </c>
      <c r="G18" s="7" t="str">
        <f aca="false">'Spots Database'!M14</f>
        <v>Low–Mid</v>
      </c>
      <c r="H18" s="7" t="str">
        <f aca="false">'Spots Database'!O14</f>
        <v>Beach Break</v>
      </c>
      <c r="I18" s="7" t="str">
        <f aca="false">'Spots Database'!P14</f>
        <v>Beginner–Int</v>
      </c>
    </row>
    <row r="19" customFormat="false" ht="27.75" hidden="false" customHeight="true" outlineLevel="0" collapsed="false">
      <c r="A19" s="22" t="str">
        <f aca="false">IF(OR(AND($C$4="N",'Spots Database'!F15="Y"),AND($C$4="NE",'Spots Database'!G15="Y"),AND($C$4="E",'Spots Database'!H15="Y"),AND($C$4="SE",'Spots Database'!I15="Y"),AND($C$4="S",'Spots Database'!J15="Y"),AND($C$4="SW",'Spots Database'!K15="Y")),"✅","—")</f>
        <v>✅</v>
      </c>
      <c r="B19" s="23" t="str">
        <f aca="false">'Spots Database'!S15</f>
        <v>★★★★☆</v>
      </c>
      <c r="C19" s="13" t="str">
        <f aca="false">'Spots Database'!B15</f>
        <v>Ogunquit Rivermouth</v>
      </c>
      <c r="D19" s="13" t="str">
        <f aca="false">'Spots Database'!C15</f>
        <v>Maine – South</v>
      </c>
      <c r="E19" s="13" t="str">
        <f aca="false">'Spots Database'!E15</f>
        <v>Ogunquit</v>
      </c>
      <c r="F19" s="13" t="str">
        <f aca="false">'Spots Database'!L15</f>
        <v>NE / E / SE</v>
      </c>
      <c r="G19" s="13" t="str">
        <f aca="false">'Spots Database'!M15</f>
        <v>Low</v>
      </c>
      <c r="H19" s="13" t="str">
        <f aca="false">'Spots Database'!O15</f>
        <v>River Mouth</v>
      </c>
      <c r="I19" s="13" t="str">
        <f aca="false">'Spots Database'!P15</f>
        <v>Intermediate–Adv</v>
      </c>
    </row>
    <row r="20" customFormat="false" ht="27.75" hidden="false" customHeight="true" outlineLevel="0" collapsed="false">
      <c r="A20" s="22" t="str">
        <f aca="false">IF(OR(AND($C$4="N",'Spots Database'!F16="Y"),AND($C$4="NE",'Spots Database'!G16="Y"),AND($C$4="E",'Spots Database'!H16="Y"),AND($C$4="SE",'Spots Database'!I16="Y"),AND($C$4="S",'Spots Database'!J16="Y"),AND($C$4="SW",'Spots Database'!K16="Y")),"✅","—")</f>
        <v>✅</v>
      </c>
      <c r="B20" s="23" t="str">
        <f aca="false">'Spots Database'!S16</f>
        <v>★★★★☆</v>
      </c>
      <c r="C20" s="7" t="str">
        <f aca="false">'Spots Database'!B16</f>
        <v>Long Sands Beach</v>
      </c>
      <c r="D20" s="7" t="str">
        <f aca="false">'Spots Database'!C16</f>
        <v>Maine – South</v>
      </c>
      <c r="E20" s="7" t="str">
        <f aca="false">'Spots Database'!E16</f>
        <v>York</v>
      </c>
      <c r="F20" s="7" t="str">
        <f aca="false">'Spots Database'!L16</f>
        <v>NE / E / SE</v>
      </c>
      <c r="G20" s="7" t="str">
        <f aca="false">'Spots Database'!M16</f>
        <v>Low–Mid</v>
      </c>
      <c r="H20" s="7" t="str">
        <f aca="false">'Spots Database'!O16</f>
        <v>Beach Break</v>
      </c>
      <c r="I20" s="7" t="str">
        <f aca="false">'Spots Database'!P16</f>
        <v>Beginner–Int</v>
      </c>
    </row>
    <row r="21" customFormat="false" ht="27.75" hidden="false" customHeight="true" outlineLevel="0" collapsed="false">
      <c r="A21" s="22" t="str">
        <f aca="false">IF(OR(AND($C$4="N",'Spots Database'!F17="Y"),AND($C$4="NE",'Spots Database'!G17="Y"),AND($C$4="E",'Spots Database'!H17="Y"),AND($C$4="SE",'Spots Database'!I17="Y"),AND($C$4="S",'Spots Database'!J17="Y"),AND($C$4="SW",'Spots Database'!K17="Y")),"✅","—")</f>
        <v>✅</v>
      </c>
      <c r="B21" s="23" t="str">
        <f aca="false">'Spots Database'!S17</f>
        <v>★★★☆☆</v>
      </c>
      <c r="C21" s="13" t="str">
        <f aca="false">'Spots Database'!B17</f>
        <v>Short Sands Beach</v>
      </c>
      <c r="D21" s="13" t="str">
        <f aca="false">'Spots Database'!C17</f>
        <v>Maine – South</v>
      </c>
      <c r="E21" s="13" t="str">
        <f aca="false">'Spots Database'!E17</f>
        <v>York</v>
      </c>
      <c r="F21" s="13" t="str">
        <f aca="false">'Spots Database'!L17</f>
        <v>NE / E / SE</v>
      </c>
      <c r="G21" s="13" t="str">
        <f aca="false">'Spots Database'!M17</f>
        <v>All Tides</v>
      </c>
      <c r="H21" s="13" t="str">
        <f aca="false">'Spots Database'!O17</f>
        <v>Beach Break</v>
      </c>
      <c r="I21" s="13" t="str">
        <f aca="false">'Spots Database'!P17</f>
        <v>Beginner</v>
      </c>
    </row>
    <row r="22" customFormat="false" ht="27.75" hidden="false" customHeight="true" outlineLevel="0" collapsed="false">
      <c r="A22" s="24" t="str">
        <f aca="false">IF(OR(AND($C$4="N",'Spots Database'!F18="Y"),AND($C$4="NE",'Spots Database'!G18="Y"),AND($C$4="E",'Spots Database'!H18="Y"),AND($C$4="SE",'Spots Database'!I18="Y"),AND($C$4="S",'Spots Database'!J18="Y"),AND($C$4="SW",'Spots Database'!K18="Y")),"✅","—")</f>
        <v>✅</v>
      </c>
      <c r="B22" s="23" t="str">
        <f aca="false">'Spots Database'!S18</f>
        <v>★★★★☆</v>
      </c>
      <c r="C22" s="25" t="str">
        <f aca="false">'Spots Database'!B18</f>
        <v>Pine Point</v>
      </c>
      <c r="D22" s="25" t="str">
        <f aca="false">'Spots Database'!C18</f>
        <v>Maine – North</v>
      </c>
      <c r="E22" s="25" t="str">
        <f aca="false">'Spots Database'!E18</f>
        <v>Scarborough</v>
      </c>
      <c r="F22" s="25" t="str">
        <f aca="false">'Spots Database'!L18</f>
        <v>NE / E</v>
      </c>
      <c r="G22" s="25" t="str">
        <f aca="false">'Spots Database'!M18</f>
        <v>Low</v>
      </c>
      <c r="H22" s="25" t="str">
        <f aca="false">'Spots Database'!O18</f>
        <v>River Mouth</v>
      </c>
      <c r="I22" s="25" t="str">
        <f aca="false">'Spots Database'!P18</f>
        <v>Intermediate</v>
      </c>
    </row>
    <row r="23" customFormat="false" ht="18" hidden="false" customHeight="true" outlineLevel="0" collapsed="false">
      <c r="A23" s="26" t="s">
        <v>95</v>
      </c>
      <c r="B23" s="26"/>
      <c r="C23" s="26"/>
      <c r="D23" s="26"/>
      <c r="E23" s="26"/>
      <c r="F23" s="26"/>
      <c r="G23" s="26"/>
      <c r="H23" s="26"/>
      <c r="I23" s="26"/>
    </row>
  </sheetData>
  <mergeCells count="5">
    <mergeCell ref="A1:I1"/>
    <mergeCell ref="A2:I2"/>
    <mergeCell ref="A4:B4"/>
    <mergeCell ref="D4:I4"/>
    <mergeCell ref="A23:I23"/>
  </mergeCells>
  <conditionalFormatting sqref="A8:I8">
    <cfRule type="expression" priority="2" aboveAverage="0" equalAverage="0" bottom="0" percent="0" rank="0" text="" dxfId="14">
      <formula>$A8="✅"</formula>
    </cfRule>
    <cfRule type="expression" priority="3" aboveAverage="0" equalAverage="0" bottom="0" percent="0" rank="0" text="" dxfId="15">
      <formula>$A8="—"</formula>
    </cfRule>
  </conditionalFormatting>
  <conditionalFormatting sqref="A9:I9">
    <cfRule type="expression" priority="4" aboveAverage="0" equalAverage="0" bottom="0" percent="0" rank="0" text="" dxfId="14">
      <formula>$A9="✅"</formula>
    </cfRule>
    <cfRule type="expression" priority="5" aboveAverage="0" equalAverage="0" bottom="0" percent="0" rank="0" text="" dxfId="15">
      <formula>$A9="—"</formula>
    </cfRule>
  </conditionalFormatting>
  <conditionalFormatting sqref="A10:I10">
    <cfRule type="expression" priority="6" aboveAverage="0" equalAverage="0" bottom="0" percent="0" rank="0" text="" dxfId="14">
      <formula>$A10="✅"</formula>
    </cfRule>
    <cfRule type="expression" priority="7" aboveAverage="0" equalAverage="0" bottom="0" percent="0" rank="0" text="" dxfId="15">
      <formula>$A10="—"</formula>
    </cfRule>
  </conditionalFormatting>
  <conditionalFormatting sqref="A11:I11">
    <cfRule type="expression" priority="8" aboveAverage="0" equalAverage="0" bottom="0" percent="0" rank="0" text="" dxfId="14">
      <formula>$A11="✅"</formula>
    </cfRule>
    <cfRule type="expression" priority="9" aboveAverage="0" equalAverage="0" bottom="0" percent="0" rank="0" text="" dxfId="15">
      <formula>$A11="—"</formula>
    </cfRule>
  </conditionalFormatting>
  <conditionalFormatting sqref="A12:I12">
    <cfRule type="expression" priority="10" aboveAverage="0" equalAverage="0" bottom="0" percent="0" rank="0" text="" dxfId="14">
      <formula>$A12="✅"</formula>
    </cfRule>
    <cfRule type="expression" priority="11" aboveAverage="0" equalAverage="0" bottom="0" percent="0" rank="0" text="" dxfId="15">
      <formula>$A12="—"</formula>
    </cfRule>
  </conditionalFormatting>
  <conditionalFormatting sqref="A13:I13">
    <cfRule type="expression" priority="12" aboveAverage="0" equalAverage="0" bottom="0" percent="0" rank="0" text="" dxfId="14">
      <formula>$A13="✅"</formula>
    </cfRule>
    <cfRule type="expression" priority="13" aboveAverage="0" equalAverage="0" bottom="0" percent="0" rank="0" text="" dxfId="15">
      <formula>$A13="—"</formula>
    </cfRule>
  </conditionalFormatting>
  <conditionalFormatting sqref="A14:I14">
    <cfRule type="expression" priority="14" aboveAverage="0" equalAverage="0" bottom="0" percent="0" rank="0" text="" dxfId="14">
      <formula>$A14="✅"</formula>
    </cfRule>
    <cfRule type="expression" priority="15" aboveAverage="0" equalAverage="0" bottom="0" percent="0" rank="0" text="" dxfId="15">
      <formula>$A14="—"</formula>
    </cfRule>
  </conditionalFormatting>
  <conditionalFormatting sqref="A15:I15">
    <cfRule type="expression" priority="16" aboveAverage="0" equalAverage="0" bottom="0" percent="0" rank="0" text="" dxfId="14">
      <formula>$A15="✅"</formula>
    </cfRule>
    <cfRule type="expression" priority="17" aboveAverage="0" equalAverage="0" bottom="0" percent="0" rank="0" text="" dxfId="15">
      <formula>$A15="—"</formula>
    </cfRule>
  </conditionalFormatting>
  <conditionalFormatting sqref="A16:I16">
    <cfRule type="expression" priority="18" aboveAverage="0" equalAverage="0" bottom="0" percent="0" rank="0" text="" dxfId="14">
      <formula>$A16="✅"</formula>
    </cfRule>
    <cfRule type="expression" priority="19" aboveAverage="0" equalAverage="0" bottom="0" percent="0" rank="0" text="" dxfId="15">
      <formula>$A16="—"</formula>
    </cfRule>
  </conditionalFormatting>
  <conditionalFormatting sqref="A17:I17">
    <cfRule type="expression" priority="20" aboveAverage="0" equalAverage="0" bottom="0" percent="0" rank="0" text="" dxfId="14">
      <formula>$A17="✅"</formula>
    </cfRule>
    <cfRule type="expression" priority="21" aboveAverage="0" equalAverage="0" bottom="0" percent="0" rank="0" text="" dxfId="15">
      <formula>$A17="—"</formula>
    </cfRule>
  </conditionalFormatting>
  <conditionalFormatting sqref="A18:I18">
    <cfRule type="expression" priority="22" aboveAverage="0" equalAverage="0" bottom="0" percent="0" rank="0" text="" dxfId="14">
      <formula>$A18="✅"</formula>
    </cfRule>
    <cfRule type="expression" priority="23" aboveAverage="0" equalAverage="0" bottom="0" percent="0" rank="0" text="" dxfId="15">
      <formula>$A18="—"</formula>
    </cfRule>
  </conditionalFormatting>
  <conditionalFormatting sqref="A19:I19">
    <cfRule type="expression" priority="24" aboveAverage="0" equalAverage="0" bottom="0" percent="0" rank="0" text="" dxfId="14">
      <formula>$A19="✅"</formula>
    </cfRule>
    <cfRule type="expression" priority="25" aboveAverage="0" equalAverage="0" bottom="0" percent="0" rank="0" text="" dxfId="15">
      <formula>$A19="—"</formula>
    </cfRule>
  </conditionalFormatting>
  <conditionalFormatting sqref="A20:I20">
    <cfRule type="expression" priority="26" aboveAverage="0" equalAverage="0" bottom="0" percent="0" rank="0" text="" dxfId="14">
      <formula>$A20="✅"</formula>
    </cfRule>
    <cfRule type="expression" priority="27" aboveAverage="0" equalAverage="0" bottom="0" percent="0" rank="0" text="" dxfId="15">
      <formula>$A20="—"</formula>
    </cfRule>
  </conditionalFormatting>
  <conditionalFormatting sqref="A21:I21">
    <cfRule type="expression" priority="28" aboveAverage="0" equalAverage="0" bottom="0" percent="0" rank="0" text="" dxfId="14">
      <formula>$A21="✅"</formula>
    </cfRule>
    <cfRule type="expression" priority="29" aboveAverage="0" equalAverage="0" bottom="0" percent="0" rank="0" text="" dxfId="15">
      <formula>$A21="—"</formula>
    </cfRule>
  </conditionalFormatting>
  <conditionalFormatting sqref="A22:I22">
    <cfRule type="expression" priority="30" aboveAverage="0" equalAverage="0" bottom="0" percent="0" rank="0" text="" dxfId="16">
      <formula>$A22="✅"</formula>
    </cfRule>
    <cfRule type="expression" priority="31" aboveAverage="0" equalAverage="0" bottom="0" percent="0" rank="0" text="" dxfId="17">
      <formula>$A22="—"</formula>
    </cfRule>
  </conditionalFormatting>
  <dataValidations count="1">
    <dataValidation allowBlank="false" error="Please choose from: N, NE, E, SE, S, SW" errorStyle="stop" errorTitle="Invalid Swell Direction" operator="between" showDropDown="false" showErrorMessage="true" showInputMessage="false" sqref="C4" type="list">
      <formula1>"N,NE,E,SE,S,SW"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0"/>
    <col collapsed="false" customWidth="true" hidden="false" outlineLevel="0" max="3" min="3" style="1" width="2"/>
  </cols>
  <sheetData>
    <row r="1" customFormat="false" ht="31.5" hidden="false" customHeight="true" outlineLevel="0" collapsed="false">
      <c r="A1" s="27" t="s">
        <v>96</v>
      </c>
      <c r="B1" s="27"/>
    </row>
    <row r="2" customFormat="false" ht="25.5" hidden="false" customHeight="true" outlineLevel="0" collapsed="false">
      <c r="A2" s="28" t="s">
        <v>97</v>
      </c>
      <c r="B2" s="28"/>
    </row>
    <row r="3" customFormat="false" ht="39.75" hidden="false" customHeight="true" outlineLevel="0" collapsed="false">
      <c r="A3" s="29" t="s">
        <v>98</v>
      </c>
      <c r="B3" s="30" t="s">
        <v>99</v>
      </c>
    </row>
    <row r="4" customFormat="false" ht="39.75" hidden="false" customHeight="true" outlineLevel="0" collapsed="false">
      <c r="A4" s="31" t="s">
        <v>100</v>
      </c>
      <c r="B4" s="32" t="s">
        <v>101</v>
      </c>
    </row>
    <row r="5" customFormat="false" ht="39.75" hidden="false" customHeight="true" outlineLevel="0" collapsed="false">
      <c r="A5" s="29" t="s">
        <v>102</v>
      </c>
      <c r="B5" s="30" t="s">
        <v>103</v>
      </c>
    </row>
    <row r="6" customFormat="false" ht="39.75" hidden="false" customHeight="true" outlineLevel="0" collapsed="false">
      <c r="A6" s="31" t="s">
        <v>104</v>
      </c>
      <c r="B6" s="32" t="s">
        <v>105</v>
      </c>
    </row>
    <row r="7" customFormat="false" ht="25.5" hidden="false" customHeight="true" outlineLevel="0" collapsed="false">
      <c r="A7" s="33"/>
      <c r="B7" s="33"/>
    </row>
    <row r="8" customFormat="false" ht="25.5" hidden="false" customHeight="true" outlineLevel="0" collapsed="false">
      <c r="A8" s="28" t="s">
        <v>106</v>
      </c>
      <c r="B8" s="28"/>
    </row>
    <row r="9" customFormat="false" ht="39.75" hidden="false" customHeight="true" outlineLevel="0" collapsed="false">
      <c r="A9" s="29" t="s">
        <v>107</v>
      </c>
      <c r="B9" s="30" t="s">
        <v>108</v>
      </c>
    </row>
    <row r="10" customFormat="false" ht="39.75" hidden="false" customHeight="true" outlineLevel="0" collapsed="false">
      <c r="A10" s="31" t="s">
        <v>109</v>
      </c>
      <c r="B10" s="32" t="s">
        <v>110</v>
      </c>
    </row>
    <row r="11" customFormat="false" ht="39.75" hidden="false" customHeight="true" outlineLevel="0" collapsed="false">
      <c r="A11" s="29" t="s">
        <v>111</v>
      </c>
      <c r="B11" s="30" t="s">
        <v>112</v>
      </c>
    </row>
    <row r="12" customFormat="false" ht="39.75" hidden="false" customHeight="true" outlineLevel="0" collapsed="false">
      <c r="A12" s="31" t="s">
        <v>113</v>
      </c>
      <c r="B12" s="32" t="s">
        <v>114</v>
      </c>
    </row>
    <row r="13" customFormat="false" ht="39.75" hidden="false" customHeight="true" outlineLevel="0" collapsed="false">
      <c r="A13" s="29" t="s">
        <v>115</v>
      </c>
      <c r="B13" s="30" t="s">
        <v>116</v>
      </c>
    </row>
    <row r="14" customFormat="false" ht="39.75" hidden="false" customHeight="true" outlineLevel="0" collapsed="false">
      <c r="A14" s="31" t="s">
        <v>117</v>
      </c>
      <c r="B14" s="32" t="s">
        <v>118</v>
      </c>
    </row>
    <row r="15" customFormat="false" ht="25.5" hidden="false" customHeight="true" outlineLevel="0" collapsed="false">
      <c r="A15" s="33"/>
      <c r="B15" s="33"/>
    </row>
    <row r="16" customFormat="false" ht="25.5" hidden="false" customHeight="true" outlineLevel="0" collapsed="false">
      <c r="A16" s="28" t="s">
        <v>119</v>
      </c>
      <c r="B16" s="28"/>
    </row>
    <row r="17" customFormat="false" ht="39.75" hidden="false" customHeight="true" outlineLevel="0" collapsed="false">
      <c r="A17" s="29" t="s">
        <v>21</v>
      </c>
      <c r="B17" s="30" t="s">
        <v>120</v>
      </c>
    </row>
    <row r="18" customFormat="false" ht="39.75" hidden="false" customHeight="true" outlineLevel="0" collapsed="false">
      <c r="A18" s="31" t="s">
        <v>15</v>
      </c>
      <c r="B18" s="32" t="s">
        <v>121</v>
      </c>
    </row>
    <row r="19" customFormat="false" ht="39.75" hidden="false" customHeight="true" outlineLevel="0" collapsed="false">
      <c r="A19" s="29" t="s">
        <v>16</v>
      </c>
      <c r="B19" s="30" t="s">
        <v>122</v>
      </c>
    </row>
    <row r="20" customFormat="false" ht="39.75" hidden="false" customHeight="true" outlineLevel="0" collapsed="false">
      <c r="A20" s="31" t="s">
        <v>17</v>
      </c>
      <c r="B20" s="32" t="s">
        <v>123</v>
      </c>
    </row>
    <row r="21" customFormat="false" ht="39.75" hidden="false" customHeight="true" outlineLevel="0" collapsed="false">
      <c r="A21" s="29" t="s">
        <v>18</v>
      </c>
      <c r="B21" s="30" t="s">
        <v>124</v>
      </c>
    </row>
    <row r="22" customFormat="false" ht="39.75" hidden="false" customHeight="true" outlineLevel="0" collapsed="false">
      <c r="A22" s="31" t="s">
        <v>20</v>
      </c>
      <c r="B22" s="32" t="s">
        <v>125</v>
      </c>
    </row>
    <row r="23" customFormat="false" ht="25.5" hidden="false" customHeight="true" outlineLevel="0" collapsed="false">
      <c r="A23" s="33"/>
      <c r="B23" s="33"/>
    </row>
    <row r="24" customFormat="false" ht="25.5" hidden="false" customHeight="true" outlineLevel="0" collapsed="false">
      <c r="A24" s="28" t="s">
        <v>126</v>
      </c>
      <c r="B24" s="28"/>
    </row>
    <row r="25" customFormat="false" ht="39.75" hidden="false" customHeight="true" outlineLevel="0" collapsed="false">
      <c r="A25" s="29" t="s">
        <v>127</v>
      </c>
      <c r="B25" s="30" t="s">
        <v>128</v>
      </c>
    </row>
    <row r="26" customFormat="false" ht="39.75" hidden="false" customHeight="true" outlineLevel="0" collapsed="false">
      <c r="A26" s="31" t="s">
        <v>129</v>
      </c>
      <c r="B26" s="32" t="s">
        <v>130</v>
      </c>
    </row>
  </sheetData>
  <mergeCells count="8">
    <mergeCell ref="A1:B1"/>
    <mergeCell ref="A2:B2"/>
    <mergeCell ref="A7:B7"/>
    <mergeCell ref="A8:B8"/>
    <mergeCell ref="A15:B15"/>
    <mergeCell ref="A16:B16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2026-03-29T13:41:09Z</dcterms:created>
  <dc:creator>openpyxl</dc:creator>
  <dc:description/>
  <dc:language>en-US</dc:language>
  <cp:lastModifiedBy/>
  <dcterms:modified xsi:type="dcterms:W3CDTF">2026-05-27T16:49:05Z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